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tudentSofiiaFedchuk\Desktop\ComputerGraphics\"/>
    </mc:Choice>
  </mc:AlternateContent>
  <xr:revisionPtr revIDLastSave="0" documentId="13_ncr:1_{880B25D0-2C07-4C30-A2C9-DDFD05BF002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imple 2d rotation" sheetId="1" r:id="rId1"/>
    <sheet name="2d rotation about poi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 a="1"/>
  <c r="I39" i="2" a="1"/>
  <c r="J30" i="2"/>
  <c r="G17" i="2"/>
  <c r="J29" i="2"/>
  <c r="G16" i="2"/>
  <c r="F17" i="2"/>
  <c r="I30" i="2"/>
  <c r="I29" i="2"/>
  <c r="H34" i="2" a="1"/>
  <c r="J6" i="2"/>
  <c r="H6" i="2"/>
  <c r="J1" i="2"/>
  <c r="B20" i="1"/>
  <c r="C22" i="1"/>
  <c r="B22" i="1"/>
  <c r="C21" i="1"/>
  <c r="B21" i="1"/>
  <c r="A9" i="1" s="1" a="1"/>
  <c r="F16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<sst xmlns="http://schemas.openxmlformats.org/spreadsheetml/2006/main" count="23" uniqueCount="20">
  <si>
    <t>Points</t>
  </si>
  <si>
    <t>Degrees</t>
  </si>
  <si>
    <t>Rad</t>
  </si>
  <si>
    <t xml:space="preserve">Rotate by </t>
  </si>
  <si>
    <t>degrees</t>
  </si>
  <si>
    <t>radians</t>
  </si>
  <si>
    <t>About</t>
  </si>
  <si>
    <t>Step 1</t>
  </si>
  <si>
    <t>Move the point to the origin</t>
  </si>
  <si>
    <t>(</t>
  </si>
  <si>
    <t>,</t>
  </si>
  <si>
    <t>)</t>
  </si>
  <si>
    <t>2d Homogenous</t>
  </si>
  <si>
    <t>_&gt;</t>
  </si>
  <si>
    <t>Step 2</t>
  </si>
  <si>
    <t>Rotate</t>
  </si>
  <si>
    <t>Step 3</t>
  </si>
  <si>
    <t>Move origin back to point</t>
  </si>
  <si>
    <t>Step 4</t>
  </si>
  <si>
    <t>Compose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</si>
</sst>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3" borderId="0" xfId="2"/>
    <xf numFmtId="0" fontId="1" fillId="2" borderId="0" xfId="1"/>
    <xf numFmtId="0" fontId="0" fillId="0" borderId="5" xfId="0" applyBorder="1"/>
    <xf numFmtId="0" fontId="0" fillId="0" borderId="6" xfId="0" applyBorder="1"/>
    <xf numFmtId="0" fontId="0" fillId="0" borderId="0" xfId="0" applyFill="1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'simple 2d rotation'!$A$2:$A$12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-1</c:v>
                </c:pt>
                <c:pt idx="7">
                  <c:v>0</c:v>
                </c:pt>
                <c:pt idx="8">
                  <c:v>6.1257422745431001E-17</c:v>
                </c:pt>
                <c:pt idx="9">
                  <c:v>-1</c:v>
                </c:pt>
                <c:pt idx="10">
                  <c:v>-6.1257422745431001E-17</c:v>
                </c:pt>
              </c:numCache>
            </c:numRef>
          </c:xVal>
          <c:yVal>
            <c:numRef>
              <c:f>'simple 2d rotation'!$B$2:$B$12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6.1257422745431001E-17</c:v>
                </c:pt>
                <c:pt idx="1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30-4F9E-8DB1-51A9E8F89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5328"/>
        <c:axId val="1897946799"/>
      </c:scatterChart>
      <c:valAx>
        <c:axId val="848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946799"/>
        <c:crosses val="autoZero"/>
        <c:crossBetween val="midCat"/>
      </c:valAx>
      <c:valAx>
        <c:axId val="189794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A62251-BAB8-9850-3EE9-A1D848DC1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selection activeCell="A21" sqref="A21"/>
    </sheetView>
  </sheetViews>
  <sheetFormatPr defaultRowHeight="15" x14ac:dyDescent="0.25"/>
  <sheetData>
    <row r="1" spans="1:2" x14ac:dyDescent="0.25">
      <c r="A1" s="1" t="s">
        <v>0</v>
      </c>
      <c r="B1" s="1"/>
    </row>
    <row r="2" spans="1:2" x14ac:dyDescent="0.25">
      <c r="A2" s="7">
        <v>0</v>
      </c>
      <c r="B2" s="7">
        <v>0</v>
      </c>
    </row>
    <row r="3" spans="1:2" x14ac:dyDescent="0.25">
      <c r="A3" s="7">
        <v>1</v>
      </c>
      <c r="B3" s="7">
        <v>0</v>
      </c>
    </row>
    <row r="4" spans="1:2" x14ac:dyDescent="0.25">
      <c r="A4" s="7">
        <v>0</v>
      </c>
      <c r="B4" s="7">
        <v>1</v>
      </c>
    </row>
    <row r="5" spans="1:2" x14ac:dyDescent="0.25">
      <c r="A5" s="7">
        <v>-1</v>
      </c>
      <c r="B5" s="7">
        <v>0</v>
      </c>
    </row>
    <row r="6" spans="1:2" x14ac:dyDescent="0.25">
      <c r="A6" s="7"/>
      <c r="B6" s="7"/>
    </row>
    <row r="7" spans="1:2" x14ac:dyDescent="0.25">
      <c r="A7" s="7"/>
      <c r="B7" s="7"/>
    </row>
    <row r="8" spans="1:2" x14ac:dyDescent="0.25">
      <c r="A8" s="7"/>
      <c r="B8" s="7"/>
    </row>
    <row r="9" spans="1:2" x14ac:dyDescent="0.25">
      <c r="A9" s="6" cm="1">
        <f t="array" ref="A9:B12">MMULT(A2:B5, B21:C22)</f>
        <v>0</v>
      </c>
      <c r="B9" s="6">
        <v>0</v>
      </c>
    </row>
    <row r="10" spans="1:2" x14ac:dyDescent="0.25">
      <c r="A10" s="6">
        <v>6.1257422745431001E-17</v>
      </c>
      <c r="B10" s="6">
        <v>1</v>
      </c>
    </row>
    <row r="11" spans="1:2" x14ac:dyDescent="0.25">
      <c r="A11" s="6">
        <v>-1</v>
      </c>
      <c r="B11" s="6">
        <v>6.1257422745431001E-17</v>
      </c>
    </row>
    <row r="12" spans="1:2" x14ac:dyDescent="0.25">
      <c r="A12" s="6">
        <v>-6.1257422745431001E-17</v>
      </c>
      <c r="B12" s="6">
        <v>-1</v>
      </c>
    </row>
    <row r="13" spans="1:2" x14ac:dyDescent="0.25">
      <c r="A13" s="6"/>
      <c r="B13" s="6"/>
    </row>
    <row r="14" spans="1:2" x14ac:dyDescent="0.25">
      <c r="A14" s="6"/>
      <c r="B14" s="6"/>
    </row>
    <row r="15" spans="1:2" x14ac:dyDescent="0.25">
      <c r="A15" s="6"/>
      <c r="B15" s="6"/>
    </row>
    <row r="19" spans="1:3" x14ac:dyDescent="0.25">
      <c r="A19" t="s">
        <v>1</v>
      </c>
      <c r="B19" t="s">
        <v>2</v>
      </c>
    </row>
    <row r="20" spans="1:3" x14ac:dyDescent="0.25">
      <c r="A20" s="7">
        <v>90</v>
      </c>
      <c r="B20" s="6">
        <f>RADIANS(A20)</f>
        <v>1.5707963267948966</v>
      </c>
    </row>
    <row r="21" spans="1:3" x14ac:dyDescent="0.25">
      <c r="B21" s="2">
        <f>COS(B20)</f>
        <v>6.1257422745431001E-17</v>
      </c>
      <c r="C21" s="4">
        <f>SIN(B20)</f>
        <v>1</v>
      </c>
    </row>
    <row r="22" spans="1:3" x14ac:dyDescent="0.25">
      <c r="B22" s="3">
        <f>-SIN(B20)</f>
        <v>-1</v>
      </c>
      <c r="C22" s="5">
        <f>COS(B20)</f>
        <v>6.1257422745431001E-17</v>
      </c>
    </row>
  </sheetData>
  <mergeCells count="1">
    <mergeCell ref="A1:B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E5B8-8F90-40D2-BB22-B13A087F4B1A}">
  <dimension ref="A1:Q41"/>
  <sheetViews>
    <sheetView tabSelected="1" topLeftCell="A10" workbookViewId="0">
      <selection activeCell="U22" sqref="U22"/>
    </sheetView>
  </sheetViews>
  <sheetFormatPr defaultRowHeight="15" x14ac:dyDescent="0.25"/>
  <cols>
    <col min="6" max="6" width="12.5703125" customWidth="1"/>
    <col min="7" max="7" width="10.5703125" customWidth="1"/>
    <col min="8" max="8" width="11.28515625" customWidth="1"/>
  </cols>
  <sheetData>
    <row r="1" spans="1:17" x14ac:dyDescent="0.25">
      <c r="A1" s="7">
        <v>0</v>
      </c>
      <c r="B1" s="7">
        <v>1</v>
      </c>
      <c r="F1" t="s">
        <v>3</v>
      </c>
      <c r="G1" s="7">
        <v>30</v>
      </c>
      <c r="H1" t="s">
        <v>4</v>
      </c>
      <c r="J1" s="6">
        <f>RADIANS(G1)</f>
        <v>0.52359877559829882</v>
      </c>
      <c r="K1" t="s">
        <v>5</v>
      </c>
    </row>
    <row r="2" spans="1:17" x14ac:dyDescent="0.25">
      <c r="A2" s="7">
        <v>-1</v>
      </c>
      <c r="B2" s="7">
        <v>0</v>
      </c>
      <c r="F2" t="s">
        <v>6</v>
      </c>
      <c r="G2" s="7">
        <v>2</v>
      </c>
      <c r="H2" s="7">
        <v>3</v>
      </c>
    </row>
    <row r="3" spans="1:17" x14ac:dyDescent="0.25">
      <c r="A3" s="7">
        <v>0</v>
      </c>
      <c r="B3" s="7">
        <v>-1</v>
      </c>
    </row>
    <row r="4" spans="1:17" x14ac:dyDescent="0.25">
      <c r="A4" s="7">
        <v>1</v>
      </c>
      <c r="B4" s="7">
        <v>0</v>
      </c>
      <c r="F4" t="s">
        <v>7</v>
      </c>
      <c r="G4" s="1" t="s">
        <v>8</v>
      </c>
      <c r="H4" s="1"/>
      <c r="I4" s="1"/>
    </row>
    <row r="6" spans="1:17" x14ac:dyDescent="0.25">
      <c r="G6" t="s">
        <v>9</v>
      </c>
      <c r="H6">
        <f>G2</f>
        <v>2</v>
      </c>
      <c r="I6" t="s">
        <v>10</v>
      </c>
      <c r="J6">
        <f>H2</f>
        <v>3</v>
      </c>
      <c r="K6" t="s">
        <v>11</v>
      </c>
      <c r="L6" t="s">
        <v>13</v>
      </c>
      <c r="M6" t="s">
        <v>9</v>
      </c>
      <c r="N6">
        <v>0</v>
      </c>
      <c r="O6" t="s">
        <v>10</v>
      </c>
      <c r="P6">
        <v>0</v>
      </c>
      <c r="Q6" t="s">
        <v>11</v>
      </c>
    </row>
    <row r="7" spans="1:17" x14ac:dyDescent="0.25">
      <c r="A7" s="1" t="s">
        <v>12</v>
      </c>
      <c r="B7" s="1"/>
    </row>
    <row r="8" spans="1:17" x14ac:dyDescent="0.25">
      <c r="A8">
        <v>0</v>
      </c>
      <c r="B8">
        <v>1</v>
      </c>
      <c r="C8">
        <v>1</v>
      </c>
    </row>
    <row r="9" spans="1:17" x14ac:dyDescent="0.25">
      <c r="A9">
        <v>-1</v>
      </c>
      <c r="B9">
        <v>0</v>
      </c>
      <c r="C9">
        <v>1</v>
      </c>
      <c r="F9" s="2">
        <v>1</v>
      </c>
      <c r="G9">
        <v>0</v>
      </c>
      <c r="H9" s="4">
        <v>0</v>
      </c>
    </row>
    <row r="10" spans="1:17" x14ac:dyDescent="0.25">
      <c r="A10">
        <v>0</v>
      </c>
      <c r="B10">
        <v>-1</v>
      </c>
      <c r="C10">
        <v>1</v>
      </c>
      <c r="F10" s="8">
        <v>0</v>
      </c>
      <c r="G10">
        <v>1</v>
      </c>
      <c r="H10" s="9">
        <v>0</v>
      </c>
    </row>
    <row r="11" spans="1:17" x14ac:dyDescent="0.25">
      <c r="A11">
        <v>1</v>
      </c>
      <c r="B11">
        <v>0</v>
      </c>
      <c r="C11">
        <v>1</v>
      </c>
      <c r="F11" s="3">
        <v>-2</v>
      </c>
      <c r="G11" s="10">
        <v>-3</v>
      </c>
      <c r="H11" s="5">
        <v>1</v>
      </c>
    </row>
    <row r="12" spans="1:17" x14ac:dyDescent="0.25">
      <c r="A12" cm="1">
        <f t="array" ref="A12:C15">MMULT(A8:C11,_xlfn.ANCHORARRAY(I39))</f>
        <v>1.2679491924311224</v>
      </c>
      <c r="B12">
        <v>0.2679491924311227</v>
      </c>
      <c r="C12">
        <v>1</v>
      </c>
    </row>
    <row r="13" spans="1:17" x14ac:dyDescent="0.25">
      <c r="A13">
        <v>0.90192378864668366</v>
      </c>
      <c r="B13">
        <v>-1.098076211353316</v>
      </c>
      <c r="C13">
        <v>1</v>
      </c>
    </row>
    <row r="14" spans="1:17" x14ac:dyDescent="0.25">
      <c r="A14">
        <v>2.2679491924311224</v>
      </c>
      <c r="B14">
        <v>-1.4641016151377548</v>
      </c>
      <c r="C14">
        <v>1</v>
      </c>
      <c r="F14" t="s">
        <v>14</v>
      </c>
      <c r="G14" t="s">
        <v>15</v>
      </c>
    </row>
    <row r="15" spans="1:17" x14ac:dyDescent="0.25">
      <c r="A15">
        <v>2.6339745962155612</v>
      </c>
      <c r="B15">
        <v>-9.8076211353316067E-2</v>
      </c>
      <c r="C15">
        <v>1</v>
      </c>
    </row>
    <row r="16" spans="1:17" x14ac:dyDescent="0.25">
      <c r="F16" s="2">
        <f>COS(J1)</f>
        <v>0.86602540378443871</v>
      </c>
      <c r="G16">
        <f>SIN(J1)</f>
        <v>0.49999999999999994</v>
      </c>
      <c r="H16" s="4">
        <v>0</v>
      </c>
    </row>
    <row r="17" spans="6:14" x14ac:dyDescent="0.25">
      <c r="F17" s="8">
        <f>-SIN(J1)</f>
        <v>-0.49999999999999994</v>
      </c>
      <c r="G17">
        <f>COS(J1)</f>
        <v>0.86602540378443871</v>
      </c>
      <c r="H17" s="9">
        <v>0</v>
      </c>
    </row>
    <row r="18" spans="6:14" x14ac:dyDescent="0.25">
      <c r="F18" s="3">
        <v>0</v>
      </c>
      <c r="G18">
        <v>0</v>
      </c>
      <c r="H18" s="5">
        <v>1</v>
      </c>
    </row>
    <row r="20" spans="6:14" x14ac:dyDescent="0.25">
      <c r="F20" t="s">
        <v>16</v>
      </c>
      <c r="G20" s="1" t="s">
        <v>17</v>
      </c>
      <c r="H20" s="1"/>
      <c r="I20" s="1"/>
    </row>
    <row r="23" spans="6:14" x14ac:dyDescent="0.25">
      <c r="F23" s="2">
        <v>1</v>
      </c>
      <c r="G23">
        <v>0</v>
      </c>
      <c r="H23" s="4">
        <v>0</v>
      </c>
    </row>
    <row r="24" spans="6:14" x14ac:dyDescent="0.25">
      <c r="F24" s="8">
        <v>0</v>
      </c>
      <c r="G24">
        <v>1</v>
      </c>
      <c r="H24" s="9">
        <v>0</v>
      </c>
    </row>
    <row r="25" spans="6:14" x14ac:dyDescent="0.25">
      <c r="F25" s="3">
        <v>2</v>
      </c>
      <c r="G25">
        <v>3</v>
      </c>
      <c r="H25" s="5">
        <v>1</v>
      </c>
    </row>
    <row r="27" spans="6:14" x14ac:dyDescent="0.25">
      <c r="F27" t="s">
        <v>18</v>
      </c>
      <c r="G27" t="s">
        <v>19</v>
      </c>
    </row>
    <row r="29" spans="6:14" x14ac:dyDescent="0.25">
      <c r="F29" s="2">
        <v>1</v>
      </c>
      <c r="G29">
        <v>0</v>
      </c>
      <c r="H29" s="4">
        <v>0</v>
      </c>
      <c r="I29" s="2">
        <f>COS(J1)</f>
        <v>0.86602540378443871</v>
      </c>
      <c r="J29">
        <f>SIN(J1)</f>
        <v>0.49999999999999994</v>
      </c>
      <c r="K29" s="4">
        <v>0</v>
      </c>
      <c r="L29" s="2">
        <v>1</v>
      </c>
      <c r="M29">
        <v>0</v>
      </c>
      <c r="N29" s="4">
        <v>0</v>
      </c>
    </row>
    <row r="30" spans="6:14" x14ac:dyDescent="0.25">
      <c r="F30" s="8">
        <v>0</v>
      </c>
      <c r="G30">
        <v>1</v>
      </c>
      <c r="H30" s="9">
        <v>0</v>
      </c>
      <c r="I30" s="8">
        <f>-SIN(J1)</f>
        <v>-0.49999999999999994</v>
      </c>
      <c r="J30">
        <f>COS(J1)</f>
        <v>0.86602540378443871</v>
      </c>
      <c r="K30" s="9">
        <v>0</v>
      </c>
      <c r="L30" s="8">
        <v>0</v>
      </c>
      <c r="M30">
        <v>1</v>
      </c>
      <c r="N30" s="9">
        <v>0</v>
      </c>
    </row>
    <row r="31" spans="6:14" x14ac:dyDescent="0.25">
      <c r="F31" s="3">
        <v>-2</v>
      </c>
      <c r="G31" s="10">
        <v>-3</v>
      </c>
      <c r="H31" s="5">
        <v>1</v>
      </c>
      <c r="I31" s="3">
        <v>0</v>
      </c>
      <c r="J31" s="10">
        <v>0</v>
      </c>
      <c r="K31" s="5">
        <v>1</v>
      </c>
      <c r="L31" s="3">
        <v>2</v>
      </c>
      <c r="M31">
        <v>3</v>
      </c>
      <c r="N31" s="5">
        <v>1</v>
      </c>
    </row>
    <row r="34" spans="8:14" x14ac:dyDescent="0.25">
      <c r="H34" cm="1">
        <f t="array" ref="H34:J36">MMULT(F29:H31,I29:K31)</f>
        <v>0.86602540378443871</v>
      </c>
      <c r="I34">
        <v>0.49999999999999994</v>
      </c>
      <c r="J34">
        <v>0</v>
      </c>
      <c r="L34" s="2">
        <v>1</v>
      </c>
      <c r="M34">
        <v>0</v>
      </c>
      <c r="N34" s="4">
        <v>0</v>
      </c>
    </row>
    <row r="35" spans="8:14" x14ac:dyDescent="0.25">
      <c r="H35">
        <v>-0.49999999999999994</v>
      </c>
      <c r="I35">
        <v>0.86602540378443871</v>
      </c>
      <c r="J35">
        <v>0</v>
      </c>
      <c r="L35" s="8">
        <v>0</v>
      </c>
      <c r="M35">
        <v>1</v>
      </c>
      <c r="N35" s="9">
        <v>0</v>
      </c>
    </row>
    <row r="36" spans="8:14" x14ac:dyDescent="0.25">
      <c r="H36">
        <v>-0.23205080756887764</v>
      </c>
      <c r="I36">
        <v>-3.598076211353316</v>
      </c>
      <c r="J36">
        <v>1</v>
      </c>
      <c r="L36" s="3">
        <v>2</v>
      </c>
      <c r="M36">
        <v>3</v>
      </c>
      <c r="N36" s="5">
        <v>1</v>
      </c>
    </row>
    <row r="39" spans="8:14" x14ac:dyDescent="0.25">
      <c r="I39" cm="1">
        <f t="array" ref="I39:K41">MMULT(_xlfn.ANCHORARRAY(H34),L34:N36)</f>
        <v>0.86602540378443871</v>
      </c>
      <c r="J39">
        <v>0.49999999999999994</v>
      </c>
      <c r="K39">
        <v>0</v>
      </c>
    </row>
    <row r="40" spans="8:14" x14ac:dyDescent="0.25">
      <c r="I40">
        <v>-0.49999999999999994</v>
      </c>
      <c r="J40">
        <v>0.86602540378443871</v>
      </c>
      <c r="K40">
        <v>0</v>
      </c>
    </row>
    <row r="41" spans="8:14" x14ac:dyDescent="0.25">
      <c r="I41">
        <v>1.7679491924311224</v>
      </c>
      <c r="J41">
        <v>-0.59807621135331601</v>
      </c>
      <c r="K41">
        <v>1</v>
      </c>
    </row>
  </sheetData>
  <mergeCells count="3">
    <mergeCell ref="G4:I4"/>
    <mergeCell ref="A7:B7"/>
    <mergeCell ref="G20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2d rotation</vt:lpstr>
      <vt:lpstr>2d rotation about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Sofiia Fedchuk (TL_KCOMP_B_Y3)</dc:creator>
  <cp:lastModifiedBy>Student Sofiia Fedchuk (TL_KCOMP_B_Y3)</cp:lastModifiedBy>
  <dcterms:created xsi:type="dcterms:W3CDTF">2015-06-05T18:17:20Z</dcterms:created>
  <dcterms:modified xsi:type="dcterms:W3CDTF">2026-09-30T11:15:06Z</dcterms:modified>
</cp:coreProperties>
</file>